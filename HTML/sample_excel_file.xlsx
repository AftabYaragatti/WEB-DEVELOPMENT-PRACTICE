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523EDD8E-9468-4C31-91E9-85EC7663A1D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3" i="1"/>
  <c r="L3" i="1" s="1"/>
</calcChain>
</file>

<file path=xl/sharedStrings.xml><?xml version="1.0" encoding="utf-8"?>
<sst xmlns="http://schemas.openxmlformats.org/spreadsheetml/2006/main" count="23" uniqueCount="23">
  <si>
    <t>STUDENT RECORD DATA 2025-26</t>
  </si>
  <si>
    <t>Sr. No.</t>
  </si>
  <si>
    <t>Name</t>
  </si>
  <si>
    <t>Roll.No</t>
  </si>
  <si>
    <t>Physics</t>
  </si>
  <si>
    <t>Chemistry</t>
  </si>
  <si>
    <t>Maths</t>
  </si>
  <si>
    <t>Biology</t>
  </si>
  <si>
    <t>Kannada</t>
  </si>
  <si>
    <t>Hindi</t>
  </si>
  <si>
    <t>English</t>
  </si>
  <si>
    <t>Total Marks</t>
  </si>
  <si>
    <t>Percentage</t>
  </si>
  <si>
    <t>Vinayak Rajkumar Patil</t>
  </si>
  <si>
    <t>Ravi Shankar Mane</t>
  </si>
  <si>
    <t>Sudha Ravi Murthi</t>
  </si>
  <si>
    <t>Rahul Manish Shetty</t>
  </si>
  <si>
    <t>Vijay Kiran Japoor</t>
  </si>
  <si>
    <t>Shankar Ram Kulkarni</t>
  </si>
  <si>
    <t>Bhishma Rajkumar Desai</t>
  </si>
  <si>
    <t>Mahesh Anil Patil</t>
  </si>
  <si>
    <t>Pretssm Vijay Solapure</t>
  </si>
  <si>
    <t>Veeru Shridhar Naik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</si>
</sst>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 tint="4.9989318521683403E-2"/>
      <name val="Rockwell"/>
    </font>
    <font>
      <b/>
      <sz val="14"/>
      <color theme="1" tint="4.9989318521683403E-2"/>
      <name val="Calibri"/>
      <family val="2"/>
      <scheme val="minor"/>
    </font>
    <font>
      <sz val="11"/>
      <color theme="1" tint="4.9989318521683403E-2"/>
      <name val="Rockwell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Rockwell"/>
        <scheme val="minor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8BC9D4-BABD-4622-B71A-BED811BFC56A}" name="Table4" displayName="Table4" ref="A2:L12" totalsRowShown="0" headerRowDxfId="13" dataDxfId="12">
  <autoFilter ref="A2:L12" xr:uid="{C38BC9D4-BABD-4622-B71A-BED811BFC56A}"/>
  <sortState xmlns:xlrd2="http://schemas.microsoft.com/office/spreadsheetml/2017/richdata2" ref="A3:L12">
    <sortCondition ref="A2:A12"/>
  </sortState>
  <tableColumns count="12">
    <tableColumn id="1" xr3:uid="{D49ACBE3-5D42-4ED3-ADC9-76A68622BB7A}" name="Sr. No." dataDxfId="11"/>
    <tableColumn id="2" xr3:uid="{816616BD-BE7A-490A-85BF-D1E8C1C83807}" name="Name" dataDxfId="10"/>
    <tableColumn id="3" xr3:uid="{D1F861E0-2E97-4F16-94DD-1A758D1A4D88}" name="Roll.No" dataDxfId="9"/>
    <tableColumn id="4" xr3:uid="{CD4ED3EC-84F8-4409-9297-65381387C48F}" name="Physics" dataDxfId="8"/>
    <tableColumn id="5" xr3:uid="{BA618A67-B15E-42FE-BE5E-714516E418AE}" name="Chemistry" dataDxfId="7"/>
    <tableColumn id="6" xr3:uid="{099FB123-9BBB-45E4-BF23-A5E0613EF327}" name="Maths" dataDxfId="6"/>
    <tableColumn id="7" xr3:uid="{3FCA0BCF-6F8A-4BD3-BF57-127E716435E7}" name="Biology" dataDxfId="5"/>
    <tableColumn id="8" xr3:uid="{EBCD6106-1A81-4F02-B66D-9D378A94558F}" name="Kannada" dataDxfId="4"/>
    <tableColumn id="9" xr3:uid="{0EBDEDCD-BDF6-450E-BBC7-E9DF394F66EF}" name="Hindi" dataDxfId="3"/>
    <tableColumn id="10" xr3:uid="{EF48285F-52CF-4E43-9818-2EC60B6773AD}" name="English" dataDxfId="2"/>
    <tableColumn id="11" xr3:uid="{D8129CE9-7065-4ADA-85B6-F94C13F45EC8}" name="Total Marks" dataDxfId="1">
      <calculatedColumnFormula>SUM(D3:J3)</calculatedColumnFormula>
    </tableColumn>
    <tableColumn id="12" xr3:uid="{0AC15D67-B33C-4026-9D85-CE051737A465}" name="Percentage" dataDxfId="0">
      <calculatedColumnFormula>K3/600*100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64DDB5-9C4A-4AF5-8FD5-065980674853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nCSrWwjqJAANboe1C1GC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E14" sqref="E14"/>
    </sheetView>
  </sheetViews>
  <sheetFormatPr defaultRowHeight="15"/>
  <cols>
    <col min="1" max="1" width="11" bestFit="1" customWidth="1"/>
    <col min="2" max="2" width="25.140625" bestFit="1" customWidth="1"/>
    <col min="3" max="3" width="11.7109375" bestFit="1" customWidth="1"/>
    <col min="4" max="4" width="11.5703125" bestFit="1" customWidth="1"/>
    <col min="5" max="5" width="14.85546875" bestFit="1" customWidth="1"/>
    <col min="6" max="6" width="10.5703125" bestFit="1" customWidth="1"/>
    <col min="7" max="7" width="11.7109375" bestFit="1" customWidth="1"/>
    <col min="8" max="8" width="13.28515625" bestFit="1" customWidth="1"/>
    <col min="9" max="9" width="9.42578125" bestFit="1" customWidth="1"/>
    <col min="10" max="10" width="11.42578125" bestFit="1" customWidth="1"/>
    <col min="11" max="11" width="16.85546875" bestFit="1" customWidth="1"/>
    <col min="12" max="12" width="16.140625" bestFit="1" customWidth="1"/>
  </cols>
  <sheetData>
    <row r="1" spans="1:12" ht="2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 t="s">
        <v>13</v>
      </c>
      <c r="C3" s="3">
        <v>21</v>
      </c>
      <c r="D3" s="3">
        <v>95</v>
      </c>
      <c r="E3" s="3">
        <v>87</v>
      </c>
      <c r="F3" s="3">
        <v>67</v>
      </c>
      <c r="G3" s="3">
        <v>87</v>
      </c>
      <c r="H3" s="3">
        <v>89</v>
      </c>
      <c r="I3" s="3">
        <v>0</v>
      </c>
      <c r="J3" s="3">
        <v>86</v>
      </c>
      <c r="K3" s="3">
        <f>SUM(D3:J3)</f>
        <v>511</v>
      </c>
      <c r="L3" s="3">
        <f>K3/600*100</f>
        <v>85.166666666666671</v>
      </c>
    </row>
    <row r="4" spans="1:12">
      <c r="A4" s="3">
        <v>2</v>
      </c>
      <c r="B4" s="3" t="s">
        <v>14</v>
      </c>
      <c r="C4" s="3">
        <v>34</v>
      </c>
      <c r="D4" s="3">
        <v>92</v>
      </c>
      <c r="E4" s="3">
        <v>87</v>
      </c>
      <c r="F4" s="3">
        <v>87</v>
      </c>
      <c r="G4" s="3">
        <v>87</v>
      </c>
      <c r="H4" s="3">
        <v>98</v>
      </c>
      <c r="I4" s="3">
        <v>0</v>
      </c>
      <c r="J4" s="3">
        <v>87</v>
      </c>
      <c r="K4" s="3">
        <f>SUM(D4:J4)</f>
        <v>538</v>
      </c>
      <c r="L4" s="3">
        <f>K4/600*100</f>
        <v>89.666666666666657</v>
      </c>
    </row>
    <row r="5" spans="1:12">
      <c r="A5" s="3">
        <v>3</v>
      </c>
      <c r="B5" s="3" t="s">
        <v>15</v>
      </c>
      <c r="C5" s="3">
        <v>65</v>
      </c>
      <c r="D5" s="3">
        <v>56</v>
      </c>
      <c r="E5" s="3">
        <v>67</v>
      </c>
      <c r="F5" s="3">
        <v>56</v>
      </c>
      <c r="G5" s="3">
        <v>89</v>
      </c>
      <c r="H5" s="3">
        <v>0</v>
      </c>
      <c r="I5" s="3">
        <v>78</v>
      </c>
      <c r="J5" s="3">
        <v>77</v>
      </c>
      <c r="K5" s="3">
        <f>SUM(D5:J5)</f>
        <v>423</v>
      </c>
      <c r="L5" s="3">
        <f>K5/600*100</f>
        <v>70.5</v>
      </c>
    </row>
    <row r="6" spans="1:12">
      <c r="A6" s="3">
        <v>4</v>
      </c>
      <c r="B6" s="3" t="s">
        <v>16</v>
      </c>
      <c r="C6" s="3">
        <v>54</v>
      </c>
      <c r="D6" s="3">
        <v>76</v>
      </c>
      <c r="E6" s="3">
        <v>45</v>
      </c>
      <c r="F6" s="3">
        <v>98</v>
      </c>
      <c r="G6" s="3">
        <v>67</v>
      </c>
      <c r="H6" s="3">
        <v>98</v>
      </c>
      <c r="I6" s="3">
        <v>0</v>
      </c>
      <c r="J6" s="3">
        <v>87</v>
      </c>
      <c r="K6" s="3">
        <f>SUM(D6:J6)</f>
        <v>471</v>
      </c>
      <c r="L6" s="3">
        <f>K6/600*100</f>
        <v>78.5</v>
      </c>
    </row>
    <row r="7" spans="1:12">
      <c r="A7" s="3">
        <v>5</v>
      </c>
      <c r="B7" s="3" t="s">
        <v>17</v>
      </c>
      <c r="C7" s="3">
        <v>43</v>
      </c>
      <c r="D7" s="3">
        <v>87</v>
      </c>
      <c r="E7" s="3">
        <v>56</v>
      </c>
      <c r="F7" s="3">
        <v>78</v>
      </c>
      <c r="G7" s="3">
        <v>76</v>
      </c>
      <c r="H7" s="3">
        <v>78</v>
      </c>
      <c r="I7" s="3">
        <v>0</v>
      </c>
      <c r="J7" s="3">
        <v>65</v>
      </c>
      <c r="K7" s="3">
        <f>SUM(D7:J7)</f>
        <v>440</v>
      </c>
      <c r="L7" s="3">
        <f>K7/600*100</f>
        <v>73.333333333333329</v>
      </c>
    </row>
    <row r="8" spans="1:12">
      <c r="A8" s="3">
        <v>6</v>
      </c>
      <c r="B8" s="3" t="s">
        <v>18</v>
      </c>
      <c r="C8" s="3">
        <v>6</v>
      </c>
      <c r="D8" s="3">
        <v>97</v>
      </c>
      <c r="E8" s="3">
        <v>79</v>
      </c>
      <c r="F8" s="3">
        <v>78</v>
      </c>
      <c r="G8" s="3">
        <v>78</v>
      </c>
      <c r="H8" s="3">
        <v>0</v>
      </c>
      <c r="I8" s="3">
        <v>88</v>
      </c>
      <c r="J8" s="3">
        <v>87</v>
      </c>
      <c r="K8" s="3">
        <f>SUM(D8:J8)</f>
        <v>507</v>
      </c>
      <c r="L8" s="3">
        <f>K8/600*100</f>
        <v>84.5</v>
      </c>
    </row>
    <row r="9" spans="1:12">
      <c r="A9" s="3">
        <v>7</v>
      </c>
      <c r="B9" s="3" t="s">
        <v>19</v>
      </c>
      <c r="C9" s="3">
        <v>76</v>
      </c>
      <c r="D9" s="3">
        <v>67</v>
      </c>
      <c r="E9" s="3">
        <v>56</v>
      </c>
      <c r="F9" s="3">
        <v>67</v>
      </c>
      <c r="G9" s="3">
        <v>89</v>
      </c>
      <c r="H9" s="3">
        <v>0</v>
      </c>
      <c r="I9" s="3">
        <v>78</v>
      </c>
      <c r="J9" s="3">
        <v>98</v>
      </c>
      <c r="K9" s="3">
        <f>SUM(D9:J9)</f>
        <v>455</v>
      </c>
      <c r="L9" s="3">
        <f>K9/600*100</f>
        <v>75.833333333333329</v>
      </c>
    </row>
    <row r="10" spans="1:12">
      <c r="A10" s="3">
        <v>8</v>
      </c>
      <c r="B10" s="3" t="s">
        <v>20</v>
      </c>
      <c r="C10" s="3">
        <v>79</v>
      </c>
      <c r="D10" s="3">
        <v>76</v>
      </c>
      <c r="E10" s="3">
        <v>87</v>
      </c>
      <c r="F10" s="3">
        <v>98</v>
      </c>
      <c r="G10" s="3">
        <v>65</v>
      </c>
      <c r="H10" s="3">
        <v>0</v>
      </c>
      <c r="I10" s="3">
        <v>89</v>
      </c>
      <c r="J10" s="3">
        <v>56</v>
      </c>
      <c r="K10" s="3">
        <f>SUM(D10:J10)</f>
        <v>471</v>
      </c>
      <c r="L10" s="3">
        <f>K10/600*100</f>
        <v>78.5</v>
      </c>
    </row>
    <row r="11" spans="1:12">
      <c r="A11" s="3">
        <v>9</v>
      </c>
      <c r="B11" s="3" t="s">
        <v>21</v>
      </c>
      <c r="C11" s="3">
        <v>43</v>
      </c>
      <c r="D11" s="3">
        <v>76</v>
      </c>
      <c r="E11" s="3">
        <v>65</v>
      </c>
      <c r="F11" s="3">
        <v>79</v>
      </c>
      <c r="G11" s="3">
        <v>87</v>
      </c>
      <c r="H11" s="3">
        <v>98</v>
      </c>
      <c r="I11" s="3">
        <v>0</v>
      </c>
      <c r="J11" s="3">
        <v>45</v>
      </c>
      <c r="K11" s="3">
        <f>SUM(D11:J11)</f>
        <v>450</v>
      </c>
      <c r="L11" s="3">
        <f>K11/600*100</f>
        <v>75</v>
      </c>
    </row>
    <row r="12" spans="1:12">
      <c r="A12" s="3">
        <v>10</v>
      </c>
      <c r="B12" s="3" t="s">
        <v>22</v>
      </c>
      <c r="C12" s="3">
        <v>23</v>
      </c>
      <c r="D12" s="3">
        <v>56</v>
      </c>
      <c r="E12" s="3">
        <v>86</v>
      </c>
      <c r="F12" s="3">
        <v>56</v>
      </c>
      <c r="G12" s="3">
        <v>87</v>
      </c>
      <c r="H12" s="3">
        <v>67</v>
      </c>
      <c r="I12" s="3">
        <v>0</v>
      </c>
      <c r="J12" s="3">
        <v>45</v>
      </c>
      <c r="K12" s="3">
        <f>SUM(D12:J12)</f>
        <v>397</v>
      </c>
      <c r="L12" s="3">
        <f>K12/600*100</f>
        <v>66.166666666666657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2026-03-08T16:41:08Z</dcterms:created>
  <dcterms:modified xsi:type="dcterms:W3CDTF">2026-03-08T17:19:09Z</dcterms:modified>
  <cp:category/>
  <cp:contentStatus/>
</cp:coreProperties>
</file>